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liste" sheetId="1" state="visible" r:id="rId1"/>
    <sheet name="Preisrechner" sheetId="2" state="visible" r:id="rId2"/>
    <sheet name="Preisbeispie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2"/>
    </font>
    <font>
      <name val="Calibri"/>
      <b val="1"/>
      <color rgb="002E6B9E"/>
      <sz val="12"/>
    </font>
    <font>
      <name val="Calibri"/>
      <b val="1"/>
      <color rgb="002C3E50"/>
      <sz val="11"/>
    </font>
    <font>
      <name val="Calibri"/>
      <b val="1"/>
      <color rgb="0027AE60"/>
      <sz val="14"/>
    </font>
    <font>
      <name val="Calibri"/>
      <color rgb="002C3E50"/>
      <sz val="11"/>
    </font>
    <font>
      <name val="Calibri"/>
      <color rgb="0027AE60"/>
      <sz val="11"/>
    </font>
    <font>
      <name val="Calibri"/>
      <i val="1"/>
      <color rgb="007F8C8D"/>
      <sz val="10"/>
    </font>
    <font>
      <name val="Calibri"/>
      <b val="1"/>
      <color rgb="0027AE60"/>
      <sz val="11"/>
    </font>
    <font>
      <name val="Calibri"/>
      <b val="1"/>
      <color rgb="001B3A5C"/>
      <sz val="13"/>
    </font>
    <font>
      <name val="Calibri"/>
      <b val="1"/>
      <color rgb="0027AE60"/>
      <sz val="16"/>
    </font>
    <font>
      <name val="Calibri"/>
      <b val="1"/>
      <color rgb="001B3A5C"/>
      <sz val="11"/>
    </font>
    <font>
      <name val="Calibri"/>
      <b val="1"/>
      <color rgb="001B3A5C"/>
      <sz val="12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E6B9E"/>
        <bgColor rgb="002E6B9E"/>
      </patternFill>
    </fill>
    <fill>
      <patternFill patternType="solid">
        <fgColor rgb="00D6EAF8"/>
        <bgColor rgb="00D6EAF8"/>
      </patternFill>
    </fill>
    <fill>
      <patternFill patternType="solid">
        <fgColor rgb="00F2F3F4"/>
        <bgColor rgb="00F2F3F4"/>
      </patternFill>
    </fill>
    <fill>
      <patternFill patternType="solid">
        <fgColor rgb="00FFFDE7"/>
        <bgColor rgb="00FFFDE7"/>
      </patternFill>
    </fill>
    <fill>
      <patternFill patternType="solid">
        <fgColor rgb="00E8F8F5"/>
        <bgColor rgb="00E8F8F5"/>
      </patternFill>
    </fill>
  </fills>
  <borders count="7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  <border/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9" fillId="0" borderId="6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164" fontId="12" fillId="7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45" customWidth="1" min="4" max="4"/>
  </cols>
  <sheetData>
    <row r="1" ht="50" customHeight="1">
      <c r="A1" s="1" t="inlineStr">
        <is>
          <t>VoltrMaster — Preisliste 2026</t>
        </is>
      </c>
    </row>
    <row r="2" ht="28" customHeight="1">
      <c r="A2" s="2" t="inlineStr">
        <is>
          <t>Modulare Preisgestaltung — Sie zahlen nur, was Sie nutzen</t>
        </is>
      </c>
    </row>
    <row r="3" ht="12" customHeight="1"/>
    <row r="4" ht="35" customHeight="1">
      <c r="A4" s="3" t="inlineStr">
        <is>
          <t>Leistung</t>
        </is>
      </c>
      <c r="B4" s="3" t="inlineStr">
        <is>
          <t>Preis / Monat (netto)</t>
        </is>
      </c>
      <c r="C4" s="3" t="inlineStr">
        <is>
          <t>Abrechnungseinheit</t>
        </is>
      </c>
      <c r="D4" s="3" t="inlineStr">
        <is>
          <t>Beschreibung</t>
        </is>
      </c>
    </row>
    <row r="5" ht="30" customHeight="1">
      <c r="A5" s="4" t="inlineStr">
        <is>
          <t>BASISMODULE</t>
        </is>
      </c>
      <c r="B5" s="5" t="n"/>
      <c r="C5" s="5" t="n"/>
      <c r="D5" s="5" t="n"/>
    </row>
    <row r="6" ht="40" customHeight="1">
      <c r="A6" s="6" t="inlineStr">
        <is>
          <t>Solaranlage</t>
        </is>
      </c>
      <c r="B6" s="7" t="inlineStr">
        <is>
          <t>99,00 €</t>
        </is>
      </c>
      <c r="C6" s="8" t="inlineStr">
        <is>
          <t>pro Anlage</t>
        </is>
      </c>
      <c r="D6" s="9" t="inlineStr">
        <is>
          <t>Komplette Verwaltung einer Solaranlage inkl. Stammdaten, Monitoring-Anbindung, Abrechnungen, Dokumente und Notizen</t>
        </is>
      </c>
    </row>
    <row r="7" ht="40" customHeight="1">
      <c r="A7" s="10" t="inlineStr">
        <is>
          <t>Beteiligung</t>
        </is>
      </c>
      <c r="B7" s="11" t="inlineStr">
        <is>
          <t>4,90 €</t>
        </is>
      </c>
      <c r="C7" s="12" t="inlineStr">
        <is>
          <t>pro Beteiligung</t>
        </is>
      </c>
      <c r="D7" s="13" t="inlineStr">
        <is>
          <t>Pro Beteiligung an einer Solaranlage. Inkl. anteilige Abrechnung, Ertragsberechnung und Zahlungsverfolgung</t>
        </is>
      </c>
    </row>
    <row r="8" ht="40" customHeight="1">
      <c r="A8" s="6" t="inlineStr">
        <is>
          <t>Benutzer</t>
        </is>
      </c>
      <c r="B8" s="7" t="inlineStr">
        <is>
          <t>49,00 €</t>
        </is>
      </c>
      <c r="C8" s="8" t="inlineStr">
        <is>
          <t>pro Benutzer</t>
        </is>
      </c>
      <c r="D8" s="9" t="inlineStr">
        <is>
          <t>Ein Benutzerkonto mit vollem Zugang zum System. Inkl. individuelle Einstellungen und Benachrichtigungen</t>
        </is>
      </c>
    </row>
    <row r="9" ht="12" customHeight="1"/>
    <row r="10" ht="30" customHeight="1">
      <c r="A10" s="4" t="inlineStr">
        <is>
          <t>OPTIONALE MODULE</t>
        </is>
      </c>
      <c r="B10" s="5" t="n"/>
      <c r="C10" s="5" t="n"/>
      <c r="D10" s="5" t="n"/>
    </row>
    <row r="11" ht="40" customHeight="1">
      <c r="A11" s="6" t="inlineStr">
        <is>
          <t>Aufgaben-Modul</t>
        </is>
      </c>
      <c r="B11" s="7" t="inlineStr">
        <is>
          <t>99,00 €</t>
        </is>
      </c>
      <c r="C11" s="8" t="inlineStr">
        <is>
          <t>pauschal</t>
        </is>
      </c>
      <c r="D11" s="9" t="inlineStr">
        <is>
          <t>Aufgabenverwaltung mit Prioritäten, Fälligkeiten, Zeiterfassung, wiederkehrenden Aufgaben und Verlauf</t>
        </is>
      </c>
    </row>
    <row r="12" ht="40" customHeight="1">
      <c r="A12" s="10" t="inlineStr">
        <is>
          <t>Projekt-Modul</t>
        </is>
      </c>
      <c r="B12" s="11" t="inlineStr">
        <is>
          <t>199,00 €</t>
        </is>
      </c>
      <c r="C12" s="12" t="inlineStr">
        <is>
          <t>pauschal</t>
        </is>
      </c>
      <c r="D12" s="13" t="inlineStr">
        <is>
          <t>Projektverwaltung inkl. Budget-Tracking, Meilensteine, Termine, Team-Zuordnung und Dokumentenverwaltung</t>
        </is>
      </c>
    </row>
    <row r="13" ht="40" customHeight="1">
      <c r="A13" s="6" t="inlineStr">
        <is>
          <t>Dokumentenmanagement</t>
        </is>
      </c>
      <c r="B13" s="7" t="inlineStr">
        <is>
          <t>299,00 €</t>
        </is>
      </c>
      <c r="C13" s="8" t="inlineStr">
        <is>
          <t>pauschal</t>
        </is>
      </c>
      <c r="D13" s="9" t="inlineStr">
        <is>
          <t>Dokumentenverwaltung mit Upload, Versionierung und Volltextsuche. Inkl. 1 GB Speicherplatz</t>
        </is>
      </c>
    </row>
    <row r="14" ht="12" customHeight="1"/>
    <row r="15" ht="30" customHeight="1">
      <c r="A15" s="4" t="inlineStr">
        <is>
          <t>IN JEDEM PAKET INKLUSIVE</t>
        </is>
      </c>
      <c r="B15" s="5" t="n"/>
      <c r="C15" s="5" t="n"/>
      <c r="D15" s="5" t="n"/>
    </row>
    <row r="16" ht="24" customHeight="1">
      <c r="A16" s="14" t="inlineStr">
        <is>
          <t xml:space="preserve">  ✓  Kundenverwaltung (unbegrenzt)</t>
        </is>
      </c>
      <c r="B16" s="15" t="n"/>
      <c r="C16" s="15" t="n"/>
      <c r="D16" s="15" t="n"/>
    </row>
    <row r="17" ht="24" customHeight="1">
      <c r="A17" s="16" t="inlineStr">
        <is>
          <t xml:space="preserve">  ✓  Lieferantenverwaltung (unbegrenzt)</t>
        </is>
      </c>
      <c r="B17" s="17" t="n"/>
      <c r="C17" s="17" t="n"/>
      <c r="D17" s="17" t="n"/>
    </row>
    <row r="18" ht="24" customHeight="1">
      <c r="A18" s="14" t="inlineStr">
        <is>
          <t xml:space="preserve">  ✓  Rechnungsstellung &amp; Gutschriften</t>
        </is>
      </c>
      <c r="B18" s="15" t="n"/>
      <c r="C18" s="15" t="n"/>
      <c r="D18" s="15" t="n"/>
    </row>
    <row r="19" ht="24" customHeight="1">
      <c r="A19" s="16" t="inlineStr">
        <is>
          <t xml:space="preserve">  ✓  Artikelverwaltung mit Versionierung</t>
        </is>
      </c>
      <c r="B19" s="17" t="n"/>
      <c r="C19" s="17" t="n"/>
      <c r="D19" s="17" t="n"/>
    </row>
    <row r="20" ht="24" customHeight="1">
      <c r="A20" s="14" t="inlineStr">
        <is>
          <t xml:space="preserve">  ✓  Lexoffice-Integration</t>
        </is>
      </c>
      <c r="B20" s="15" t="n"/>
      <c r="C20" s="15" t="n"/>
      <c r="D20" s="15" t="n"/>
    </row>
    <row r="21" ht="24" customHeight="1">
      <c r="A21" s="16" t="inlineStr">
        <is>
          <t xml:space="preserve">  ✓  Gmail-Integration</t>
        </is>
      </c>
      <c r="B21" s="17" t="n"/>
      <c r="C21" s="17" t="n"/>
      <c r="D21" s="17" t="n"/>
    </row>
    <row r="22" ht="24" customHeight="1">
      <c r="A22" s="14" t="inlineStr">
        <is>
          <t xml:space="preserve">  ✓  PDF-Export &amp; Rechnungsdruck</t>
        </is>
      </c>
      <c r="B22" s="15" t="n"/>
      <c r="C22" s="15" t="n"/>
      <c r="D22" s="15" t="n"/>
    </row>
    <row r="23" ht="24" customHeight="1">
      <c r="A23" s="16" t="inlineStr">
        <is>
          <t xml:space="preserve">  ✓  E-Mail-Support</t>
        </is>
      </c>
      <c r="B23" s="17" t="n"/>
      <c r="C23" s="17" t="n"/>
      <c r="D23" s="17" t="n"/>
    </row>
    <row r="24" ht="24" customHeight="1">
      <c r="A24" s="14" t="inlineStr">
        <is>
          <t xml:space="preserve">  ✓  SSL-Verschlüsselung &amp; tägliche Backups</t>
        </is>
      </c>
      <c r="B24" s="15" t="n"/>
      <c r="C24" s="15" t="n"/>
      <c r="D24" s="15" t="n"/>
    </row>
    <row r="25" ht="24" customHeight="1">
      <c r="A25" s="16" t="inlineStr">
        <is>
          <t xml:space="preserve">  ✓  Automatische Updates</t>
        </is>
      </c>
      <c r="B25" s="17" t="n"/>
      <c r="C25" s="17" t="n"/>
      <c r="D25" s="17" t="n"/>
    </row>
    <row r="27">
      <c r="A27" s="18" t="inlineStr">
        <is>
          <t>Alle Preise verstehen sich in Euro, netto zzgl. 19% MwSt. Abrechnung erfolgt monatlich. Monatlich kündbar.</t>
        </is>
      </c>
    </row>
  </sheetData>
  <mergeCells count="16">
    <mergeCell ref="A1:D1"/>
    <mergeCell ref="A5:D5"/>
    <mergeCell ref="A17:D17"/>
    <mergeCell ref="A18:D18"/>
    <mergeCell ref="A23:D23"/>
    <mergeCell ref="A27:D27"/>
    <mergeCell ref="A22:D22"/>
    <mergeCell ref="A20:D20"/>
    <mergeCell ref="A21:D21"/>
    <mergeCell ref="A15:D15"/>
    <mergeCell ref="A25:D25"/>
    <mergeCell ref="A24:D24"/>
    <mergeCell ref="A2:D2"/>
    <mergeCell ref="A16:D16"/>
    <mergeCell ref="A19:D19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0" customWidth="1" min="3" max="3"/>
    <col width="22" customWidth="1" min="4" max="4"/>
  </cols>
  <sheetData>
    <row r="1" ht="50" customHeight="1">
      <c r="A1" s="1" t="inlineStr">
        <is>
          <t>VoltrMaster — Preisrechner</t>
        </is>
      </c>
    </row>
    <row r="2" ht="28" customHeight="1">
      <c r="A2" s="2" t="inlineStr">
        <is>
          <t>Tragen Sie Ihre Werte in die gelben Felder ein</t>
        </is>
      </c>
    </row>
    <row r="3" ht="12" customHeight="1"/>
    <row r="4" ht="35" customHeight="1">
      <c r="A4" s="3" t="inlineStr">
        <is>
          <t>Position</t>
        </is>
      </c>
      <c r="B4" s="3" t="inlineStr">
        <is>
          <t>Anzahl / Auswahl</t>
        </is>
      </c>
      <c r="C4" s="3" t="inlineStr">
        <is>
          <t>Einzelpreis</t>
        </is>
      </c>
      <c r="D4" s="3" t="inlineStr">
        <is>
          <t>Monatlich (netto)</t>
        </is>
      </c>
    </row>
    <row r="5" ht="30" customHeight="1">
      <c r="A5" s="6" t="inlineStr">
        <is>
          <t>Solaranlagen</t>
        </is>
      </c>
      <c r="B5" s="19" t="n">
        <v>10</v>
      </c>
      <c r="C5" s="8" t="inlineStr">
        <is>
          <t>99,00 €</t>
        </is>
      </c>
      <c r="D5" s="20">
        <f>B5*99</f>
        <v/>
      </c>
    </row>
    <row r="6" ht="30" customHeight="1">
      <c r="A6" s="10" t="inlineStr">
        <is>
          <t>Beteiligungen (gesamt)</t>
        </is>
      </c>
      <c r="B6" s="19" t="n">
        <v>45</v>
      </c>
      <c r="C6" s="12" t="inlineStr">
        <is>
          <t>4,90 €</t>
        </is>
      </c>
      <c r="D6" s="21">
        <f>B6*4.9</f>
        <v/>
      </c>
    </row>
    <row r="7" ht="30" customHeight="1">
      <c r="A7" s="6" t="inlineStr">
        <is>
          <t>Benutzer</t>
        </is>
      </c>
      <c r="B7" s="19" t="n">
        <v>3</v>
      </c>
      <c r="C7" s="8" t="inlineStr">
        <is>
          <t>49,00 €</t>
        </is>
      </c>
      <c r="D7" s="20">
        <f>B7*49</f>
        <v/>
      </c>
    </row>
    <row r="8" ht="8" customHeight="1"/>
    <row r="9" ht="28" customHeight="1">
      <c r="A9" s="4" t="inlineStr">
        <is>
          <t>OPTIONALE MODULE</t>
        </is>
      </c>
      <c r="B9" s="5" t="n"/>
      <c r="C9" s="5" t="n"/>
      <c r="D9" s="5" t="n"/>
    </row>
    <row r="10" ht="30" customHeight="1">
      <c r="A10" s="6" t="inlineStr">
        <is>
          <t>Aufgaben-Modul</t>
        </is>
      </c>
      <c r="B10" s="19" t="inlineStr">
        <is>
          <t>Ja</t>
        </is>
      </c>
      <c r="C10" s="8" t="inlineStr">
        <is>
          <t>99,00 €</t>
        </is>
      </c>
      <c r="D10" s="20">
        <f>IF(B10="Ja",99,0)</f>
        <v/>
      </c>
    </row>
    <row r="11" ht="30" customHeight="1">
      <c r="A11" s="10" t="inlineStr">
        <is>
          <t>Projekt-Modul</t>
        </is>
      </c>
      <c r="B11" s="19" t="inlineStr">
        <is>
          <t>Ja</t>
        </is>
      </c>
      <c r="C11" s="12" t="inlineStr">
        <is>
          <t>199,00 €</t>
        </is>
      </c>
      <c r="D11" s="21">
        <f>IF(B11="Ja",199,0)</f>
        <v/>
      </c>
    </row>
    <row r="12" ht="30" customHeight="1">
      <c r="A12" s="6" t="inlineStr">
        <is>
          <t>Dokumentenmanagement (inkl. 1 GB)</t>
        </is>
      </c>
      <c r="B12" s="19" t="inlineStr">
        <is>
          <t>Ja</t>
        </is>
      </c>
      <c r="C12" s="8" t="inlineStr">
        <is>
          <t>299,00 €</t>
        </is>
      </c>
      <c r="D12" s="20">
        <f>IF(B12="Ja",299,0)</f>
        <v/>
      </c>
    </row>
    <row r="13" ht="12" customHeight="1"/>
    <row r="14" ht="30" customHeight="1">
      <c r="A14" s="4" t="inlineStr">
        <is>
          <t>ZUSAMMENFASSUNG</t>
        </is>
      </c>
      <c r="B14" s="5" t="n"/>
      <c r="C14" s="5" t="n"/>
      <c r="D14" s="5" t="n"/>
    </row>
    <row r="15" ht="40" customHeight="1">
      <c r="A15" s="22" t="inlineStr">
        <is>
          <t>Gesamt monatlich (netto)</t>
        </is>
      </c>
      <c r="B15" s="15" t="n"/>
      <c r="C15" s="15" t="n"/>
      <c r="D15" s="23">
        <f>SUM(D5:D7,D10:D12)</f>
        <v/>
      </c>
    </row>
    <row r="16" ht="30" customHeight="1">
      <c r="A16" s="13" t="inlineStr">
        <is>
          <t>zzgl. 19% MwSt.</t>
        </is>
      </c>
      <c r="B16" s="17" t="n"/>
      <c r="C16" s="17" t="n"/>
      <c r="D16" s="24">
        <f>D15*0.19</f>
        <v/>
      </c>
    </row>
    <row r="17" ht="40" customHeight="1">
      <c r="A17" s="22" t="inlineStr">
        <is>
          <t>Gesamt monatlich (brutto)</t>
        </is>
      </c>
      <c r="B17" s="15" t="n"/>
      <c r="C17" s="15" t="n"/>
      <c r="D17" s="23">
        <f>D15*1.19</f>
        <v/>
      </c>
    </row>
    <row r="18" ht="8" customHeight="1"/>
    <row r="19" ht="30" customHeight="1">
      <c r="A19" s="25" t="inlineStr">
        <is>
          <t>Gesamt jährlich (netto)</t>
        </is>
      </c>
      <c r="B19" s="15" t="n"/>
      <c r="C19" s="15" t="n"/>
      <c r="D19" s="26">
        <f>D15*12</f>
        <v/>
      </c>
    </row>
    <row r="20" ht="30" customHeight="1">
      <c r="A20" s="27" t="inlineStr">
        <is>
          <t>Gesamt jährlich (brutto)</t>
        </is>
      </c>
      <c r="B20" s="17" t="n"/>
      <c r="C20" s="17" t="n"/>
      <c r="D20" s="28">
        <f>D15*12*1.19</f>
        <v/>
      </c>
    </row>
    <row r="22">
      <c r="A22" s="18" t="inlineStr">
        <is>
          <t>Hinweis: Passen Sie die gelben Felder an. Bei optionalen Modulen "Ja" oder "Nein" eintragen.</t>
        </is>
      </c>
    </row>
  </sheetData>
  <mergeCells count="10">
    <mergeCell ref="A1:D1"/>
    <mergeCell ref="A9:D9"/>
    <mergeCell ref="B16:C16"/>
    <mergeCell ref="B15:C15"/>
    <mergeCell ref="A22:D22"/>
    <mergeCell ref="B19:C19"/>
    <mergeCell ref="B20:C20"/>
    <mergeCell ref="A2:D2"/>
    <mergeCell ref="B17:C17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 ht="50" customHeight="1">
      <c r="A1" s="1" t="inlineStr">
        <is>
          <t>VoltrMaster — Preisbeispiele</t>
        </is>
      </c>
    </row>
    <row r="2" ht="12" customHeight="1"/>
    <row r="3" ht="35" customHeight="1">
      <c r="A3" s="3" t="inlineStr"/>
      <c r="B3" s="3" t="inlineStr">
        <is>
          <t>Klein</t>
        </is>
      </c>
      <c r="C3" s="3" t="inlineStr">
        <is>
          <t>Mittel</t>
        </is>
      </c>
      <c r="D3" s="3" t="inlineStr">
        <is>
          <t>Groß</t>
        </is>
      </c>
    </row>
    <row r="4" ht="28" customHeight="1">
      <c r="A4" s="4" t="inlineStr">
        <is>
          <t>KONFIGURATION</t>
        </is>
      </c>
      <c r="B4" s="5" t="n"/>
      <c r="C4" s="5" t="n"/>
      <c r="D4" s="5" t="n"/>
    </row>
    <row r="5" ht="26" customHeight="1">
      <c r="A5" s="6" t="inlineStr">
        <is>
          <t>Solaranlagen</t>
        </is>
      </c>
      <c r="B5" s="8" t="inlineStr">
        <is>
          <t>5</t>
        </is>
      </c>
      <c r="C5" s="8" t="inlineStr">
        <is>
          <t>25</t>
        </is>
      </c>
      <c r="D5" s="8" t="inlineStr">
        <is>
          <t>100</t>
        </is>
      </c>
    </row>
    <row r="6" ht="26" customHeight="1">
      <c r="A6" s="10" t="inlineStr">
        <is>
          <t>Beteiligungen (Ø pro Anlage)</t>
        </is>
      </c>
      <c r="B6" s="12" t="inlineStr">
        <is>
          <t>3</t>
        </is>
      </c>
      <c r="C6" s="12" t="inlineStr">
        <is>
          <t>5</t>
        </is>
      </c>
      <c r="D6" s="12" t="inlineStr">
        <is>
          <t>8</t>
        </is>
      </c>
    </row>
    <row r="7" ht="26" customHeight="1">
      <c r="A7" s="6" t="inlineStr">
        <is>
          <t>Beteiligungen gesamt</t>
        </is>
      </c>
      <c r="B7" s="8" t="inlineStr">
        <is>
          <t>15</t>
        </is>
      </c>
      <c r="C7" s="8" t="inlineStr">
        <is>
          <t>125</t>
        </is>
      </c>
      <c r="D7" s="8" t="inlineStr">
        <is>
          <t>800</t>
        </is>
      </c>
    </row>
    <row r="8" ht="26" customHeight="1">
      <c r="A8" s="10" t="inlineStr">
        <is>
          <t>Benutzer</t>
        </is>
      </c>
      <c r="B8" s="12" t="inlineStr">
        <is>
          <t>1</t>
        </is>
      </c>
      <c r="C8" s="12" t="inlineStr">
        <is>
          <t>3</t>
        </is>
      </c>
      <c r="D8" s="12" t="inlineStr">
        <is>
          <t>10</t>
        </is>
      </c>
    </row>
    <row r="9" ht="26" customHeight="1">
      <c r="A9" s="6" t="inlineStr">
        <is>
          <t>Aufgaben-Modul</t>
        </is>
      </c>
      <c r="B9" s="8" t="inlineStr">
        <is>
          <t>Nein</t>
        </is>
      </c>
      <c r="C9" s="8" t="inlineStr">
        <is>
          <t>Ja</t>
        </is>
      </c>
      <c r="D9" s="8" t="inlineStr">
        <is>
          <t>Ja</t>
        </is>
      </c>
    </row>
    <row r="10" ht="26" customHeight="1">
      <c r="A10" s="10" t="inlineStr">
        <is>
          <t>Projekt-Modul</t>
        </is>
      </c>
      <c r="B10" s="12" t="inlineStr">
        <is>
          <t>Nein</t>
        </is>
      </c>
      <c r="C10" s="12" t="inlineStr">
        <is>
          <t>Nein</t>
        </is>
      </c>
      <c r="D10" s="12" t="inlineStr">
        <is>
          <t>Ja</t>
        </is>
      </c>
    </row>
    <row r="11" ht="26" customHeight="1">
      <c r="A11" s="6" t="inlineStr">
        <is>
          <t>Dokumentenmanagement</t>
        </is>
      </c>
      <c r="B11" s="8" t="inlineStr">
        <is>
          <t>Nein</t>
        </is>
      </c>
      <c r="C11" s="8" t="inlineStr">
        <is>
          <t>Ja</t>
        </is>
      </c>
      <c r="D11" s="8" t="inlineStr">
        <is>
          <t>Ja</t>
        </is>
      </c>
    </row>
    <row r="12" ht="8" customHeight="1"/>
    <row r="13" ht="28" customHeight="1">
      <c r="A13" s="4" t="inlineStr">
        <is>
          <t>KOSTENAUFSTELLUNG</t>
        </is>
      </c>
      <c r="B13" s="5" t="n"/>
      <c r="C13" s="5" t="n"/>
      <c r="D13" s="5" t="n"/>
    </row>
    <row r="14" ht="26" customHeight="1">
      <c r="A14" s="10" t="inlineStr">
        <is>
          <t>Solaranlagen (× 99,00 €)</t>
        </is>
      </c>
      <c r="B14" s="12" t="inlineStr">
        <is>
          <t>495,00 €</t>
        </is>
      </c>
      <c r="C14" s="12" t="inlineStr">
        <is>
          <t>2.475,00 €</t>
        </is>
      </c>
      <c r="D14" s="12" t="inlineStr">
        <is>
          <t>9.900,00 €</t>
        </is>
      </c>
    </row>
    <row r="15" ht="26" customHeight="1">
      <c r="A15" s="6" t="inlineStr">
        <is>
          <t>Beteiligungen (× 4,90 €)</t>
        </is>
      </c>
      <c r="B15" s="8" t="inlineStr">
        <is>
          <t>73,50 €</t>
        </is>
      </c>
      <c r="C15" s="8" t="inlineStr">
        <is>
          <t>612,50 €</t>
        </is>
      </c>
      <c r="D15" s="8" t="inlineStr">
        <is>
          <t>3.920,00 €</t>
        </is>
      </c>
    </row>
    <row r="16" ht="26" customHeight="1">
      <c r="A16" s="10" t="inlineStr">
        <is>
          <t>Benutzer (× 49,00 €)</t>
        </is>
      </c>
      <c r="B16" s="12" t="inlineStr">
        <is>
          <t>49,00 €</t>
        </is>
      </c>
      <c r="C16" s="12" t="inlineStr">
        <is>
          <t>147,00 €</t>
        </is>
      </c>
      <c r="D16" s="12" t="inlineStr">
        <is>
          <t>490,00 €</t>
        </is>
      </c>
    </row>
    <row r="17" ht="26" customHeight="1">
      <c r="A17" s="6" t="inlineStr">
        <is>
          <t>Aufgaben-Modul</t>
        </is>
      </c>
      <c r="B17" s="8" t="inlineStr">
        <is>
          <t>—</t>
        </is>
      </c>
      <c r="C17" s="8" t="inlineStr">
        <is>
          <t>99,00 €</t>
        </is>
      </c>
      <c r="D17" s="8" t="inlineStr">
        <is>
          <t>99,00 €</t>
        </is>
      </c>
    </row>
    <row r="18" ht="26" customHeight="1">
      <c r="A18" s="10" t="inlineStr">
        <is>
          <t>Projekt-Modul</t>
        </is>
      </c>
      <c r="B18" s="12" t="inlineStr">
        <is>
          <t>—</t>
        </is>
      </c>
      <c r="C18" s="12" t="inlineStr">
        <is>
          <t>—</t>
        </is>
      </c>
      <c r="D18" s="12" t="inlineStr">
        <is>
          <t>199,00 €</t>
        </is>
      </c>
    </row>
    <row r="19" ht="26" customHeight="1">
      <c r="A19" s="6" t="inlineStr">
        <is>
          <t>Dokumentenmanagement</t>
        </is>
      </c>
      <c r="B19" s="8" t="inlineStr">
        <is>
          <t>—</t>
        </is>
      </c>
      <c r="C19" s="8" t="inlineStr">
        <is>
          <t>299,00 €</t>
        </is>
      </c>
      <c r="D19" s="8" t="inlineStr">
        <is>
          <t>299,00 €</t>
        </is>
      </c>
    </row>
    <row r="20" ht="8" customHeight="1"/>
    <row r="21" ht="38" customHeight="1">
      <c r="A21" s="29" t="inlineStr">
        <is>
          <t>GESAMT MONATLICH (netto)</t>
        </is>
      </c>
      <c r="B21" s="30" t="inlineStr">
        <is>
          <t>617,50 €</t>
        </is>
      </c>
      <c r="C21" s="30" t="inlineStr">
        <is>
          <t>3.632,50 €</t>
        </is>
      </c>
      <c r="D21" s="30" t="inlineStr">
        <is>
          <t>14.907,00 €</t>
        </is>
      </c>
    </row>
    <row r="22" ht="38" customHeight="1">
      <c r="A22" s="29" t="inlineStr">
        <is>
          <t>GESAMT JÄHRLICH (netto)</t>
        </is>
      </c>
      <c r="B22" s="31" t="inlineStr">
        <is>
          <t>7.410,00 €</t>
        </is>
      </c>
      <c r="C22" s="31" t="inlineStr">
        <is>
          <t>43.590,00 €</t>
        </is>
      </c>
      <c r="D22" s="31" t="inlineStr">
        <is>
          <t>178.884,00 €</t>
        </is>
      </c>
    </row>
    <row r="24">
      <c r="A24" s="18" t="inlineStr">
        <is>
          <t>Alle Preise in Euro, netto zzgl. 19% MwSt. Monatlich kündbar.</t>
        </is>
      </c>
    </row>
  </sheetData>
  <mergeCells count="4">
    <mergeCell ref="A1:D1"/>
    <mergeCell ref="A4:D4"/>
    <mergeCell ref="A13:D13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2026-02-10T16:28:54Z</dcterms:created>
  <dcterms:modified xsi:type="dcterms:W3CDTF">2026-02-10T16:28:54Z</dcterms:modified>
</cp:coreProperties>
</file>